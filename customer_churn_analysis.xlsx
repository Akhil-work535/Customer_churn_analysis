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ka\OneDrive\Documents\My_projetcs\project_1\customer_churn_excel\"/>
    </mc:Choice>
  </mc:AlternateContent>
  <xr:revisionPtr revIDLastSave="0" documentId="13_ncr:1_{BB9D325B-6A10-4633-B9CD-797E5AB13E2F}" xr6:coauthVersionLast="47" xr6:coauthVersionMax="47" xr10:uidLastSave="{00000000-0000-0000-0000-000000000000}"/>
  <bookViews>
    <workbookView xWindow="-108" yWindow="-108" windowWidth="23256" windowHeight="13176" firstSheet="1" activeTab="5" xr2:uid="{2AAF022A-3B4A-4652-877C-1EAA65AC6AB9}"/>
  </bookViews>
  <sheets>
    <sheet name="tenure_group_churn" sheetId="4" r:id="rId1"/>
    <sheet name="revenue_impact_on_churn" sheetId="2" r:id="rId2"/>
    <sheet name="churn_by_contract_type" sheetId="3" r:id="rId3"/>
    <sheet name="churn_summary" sheetId="1" r:id="rId4"/>
    <sheet name="KPI_summary" sheetId="5" r:id="rId5"/>
    <sheet name="Dashboard" sheetId="6" r:id="rId6"/>
  </sheets>
  <definedNames>
    <definedName name="ExternalData_1" localSheetId="3" hidden="1">'churn_summary'!$A$1:$C$3</definedName>
    <definedName name="ExternalData_2" localSheetId="2" hidden="1">'churn_by_contract_type'!$A$1:$D$4</definedName>
    <definedName name="ExternalData_3" localSheetId="1" hidden="1">'revenue_impact_on_churn'!$A$1:$B$3</definedName>
    <definedName name="ExternalData_4" localSheetId="0" hidden="1">tenure_group_churn!$A$1:$C$4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E2" i="6"/>
  <c r="H2" i="6"/>
  <c r="B2" i="5"/>
  <c r="B3" i="5"/>
  <c r="B4" i="5" s="1"/>
  <c r="B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E261FE-894D-40B2-9444-9DF5336A15E2}" keepAlive="1" name="Query - churn_by_contract_type" description="Connection to the 'churn_by_contract_type' query in the workbook." type="5" refreshedVersion="8" background="1" saveData="1">
    <dbPr connection="Provider=Microsoft.Mashup.OleDb.1;Data Source=$Workbook$;Location=churn_by_contract_type;Extended Properties=&quot;&quot;" command="SELECT * FROM [churn_by_contract_type]"/>
  </connection>
  <connection id="2" xr16:uid="{7A6601D4-A8A8-4B31-BF2A-8B4BBFFA905D}" keepAlive="1" name="Query - churn_summary" description="Connection to the 'churn_summary' query in the workbook." type="5" refreshedVersion="8" background="1" saveData="1">
    <dbPr connection="Provider=Microsoft.Mashup.OleDb.1;Data Source=$Workbook$;Location=churn_summary;Extended Properties=&quot;&quot;" command="SELECT * FROM [churn_summary]"/>
  </connection>
  <connection id="3" xr16:uid="{BA0E06A0-B889-4B56-9C08-B95911BE7028}" keepAlive="1" name="Query - revenue_impact_on_churn" description="Connection to the 'revenue_impact_on_churn' query in the workbook." type="5" refreshedVersion="8" background="1" saveData="1">
    <dbPr connection="Provider=Microsoft.Mashup.OleDb.1;Data Source=$Workbook$;Location=revenue_impact_on_churn;Extended Properties=&quot;&quot;" command="SELECT * FROM [revenue_impact_on_churn]"/>
  </connection>
  <connection id="4" xr16:uid="{D28FEC66-B86E-4494-8E36-2ED2668319AD}" keepAlive="1" name="Query - tenure_group_churn" description="Connection to the 'tenure_group_churn' query in the workbook." type="5" refreshedVersion="8" background="1" saveData="1">
    <dbPr connection="Provider=Microsoft.Mashup.OleDb.1;Data Source=$Workbook$;Location=tenure_group_churn;Extended Properties=&quot;&quot;" command="SELECT * FROM [tenure_group_churn]"/>
  </connection>
</connections>
</file>

<file path=xl/sharedStrings.xml><?xml version="1.0" encoding="utf-8"?>
<sst xmlns="http://schemas.openxmlformats.org/spreadsheetml/2006/main" count="32" uniqueCount="24">
  <si>
    <t>Yes</t>
  </si>
  <si>
    <t>No</t>
  </si>
  <si>
    <t>percentage</t>
  </si>
  <si>
    <t>customers</t>
  </si>
  <si>
    <t>Churn</t>
  </si>
  <si>
    <t>total_monthly_revenue</t>
  </si>
  <si>
    <t>Two year</t>
  </si>
  <si>
    <t>One year</t>
  </si>
  <si>
    <t>Month-to-month</t>
  </si>
  <si>
    <t>churn_rate</t>
  </si>
  <si>
    <t>churned_customers</t>
  </si>
  <si>
    <t>total_customers</t>
  </si>
  <si>
    <t>Contract</t>
  </si>
  <si>
    <t>24+ months</t>
  </si>
  <si>
    <t>12-24 months</t>
  </si>
  <si>
    <t>0-12 months</t>
  </si>
  <si>
    <t>tenure_group</t>
  </si>
  <si>
    <t>Monthly Revenue Lost</t>
  </si>
  <si>
    <t>Churn Rate</t>
  </si>
  <si>
    <t>Churned Customers</t>
  </si>
  <si>
    <t>Total Customers</t>
  </si>
  <si>
    <t>values</t>
  </si>
  <si>
    <t>Customer Churn KPI Summary</t>
  </si>
  <si>
    <t>Customer Churn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</si>
</sst>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0" fontId="0" fillId="0" borderId="0" xfId="0" applyNumberFormat="1"/>
    <xf numFmtId="0" fontId="2" fillId="0" borderId="0" xfId="0" applyFont="1"/>
    <xf numFmtId="164" fontId="0" fillId="2" borderId="0" xfId="0" applyNumberFormat="1" applyFill="1" applyAlignment="1">
      <alignment horizontal="center"/>
    </xf>
    <xf numFmtId="0" fontId="1" fillId="2" borderId="0" xfId="0" applyFont="1" applyFill="1"/>
    <xf numFmtId="10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5"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Churn Rate by Contract Type</a:t>
            </a:r>
          </a:p>
          <a:p>
            <a:pPr>
              <a:defRPr b="1">
                <a:solidFill>
                  <a:schemeClr val="tx1"/>
                </a:solidFill>
              </a:defRPr>
            </a:pP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213461572337023E-2"/>
          <c:y val="0.23694444444444446"/>
          <c:w val="0.90221159435607456"/>
          <c:h val="0.64176727909011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'churn_by_contract_type'!$D$1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'churn_by_contract_type'!$A$2:$A$4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'churn_by_contract_type'!$D$2:$D$4</c:f>
              <c:numCache>
                <c:formatCode>General</c:formatCode>
                <c:ptCount val="3"/>
                <c:pt idx="0">
                  <c:v>42.71</c:v>
                </c:pt>
                <c:pt idx="1">
                  <c:v>11.27</c:v>
                </c:pt>
                <c:pt idx="2">
                  <c:v>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7-45C6-BCCB-8AD70F133B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5039039"/>
        <c:axId val="335038079"/>
      </c:barChart>
      <c:catAx>
        <c:axId val="33503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38079"/>
        <c:crosses val="autoZero"/>
        <c:auto val="1"/>
        <c:lblAlgn val="ctr"/>
        <c:lblOffset val="100"/>
        <c:noMultiLvlLbl val="0"/>
      </c:catAx>
      <c:valAx>
        <c:axId val="3350380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039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Churn Rate by Tenure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tenure_group_churn!$C$1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tenure_group_churn!$A$2:$A$4</c:f>
              <c:strCache>
                <c:ptCount val="3"/>
                <c:pt idx="0">
                  <c:v>0-12 months</c:v>
                </c:pt>
                <c:pt idx="1">
                  <c:v>12-24 months</c:v>
                </c:pt>
                <c:pt idx="2">
                  <c:v>24+ months</c:v>
                </c:pt>
              </c:strCache>
            </c:strRef>
          </c:cat>
          <c:val>
            <c:numRef>
              <c:f>tenure_group_churn!$C$2:$C$4</c:f>
              <c:numCache>
                <c:formatCode>General</c:formatCode>
                <c:ptCount val="3"/>
                <c:pt idx="0">
                  <c:v>48.28</c:v>
                </c:pt>
                <c:pt idx="1">
                  <c:v>29.1</c:v>
                </c:pt>
                <c:pt idx="2">
                  <c:v>14.04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8-4B72-BEAC-3F12157F7A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2959951"/>
        <c:axId val="332961391"/>
      </c:barChart>
      <c:catAx>
        <c:axId val="33295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61391"/>
        <c:crosses val="autoZero"/>
        <c:auto val="1"/>
        <c:lblAlgn val="ctr"/>
        <c:lblOffset val="100"/>
        <c:noMultiLvlLbl val="0"/>
      </c:catAx>
      <c:valAx>
        <c:axId val="33296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959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396240</xdr:colOff>
      <xdr:row>4</xdr:row>
      <xdr:rowOff>175260</xdr:rowOff>
    </xdr:from>
    <xdr:to>
      <xdr:col>4</xdr:col>
      <xdr:colOff>807720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1DF30-DADE-4283-AEC0-6A35A7E15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320040</xdr:colOff>
      <xdr:row>4</xdr:row>
      <xdr:rowOff>167640</xdr:rowOff>
    </xdr:from>
    <xdr:to>
      <xdr:col>12</xdr:col>
      <xdr:colOff>434340</xdr:colOff>
      <xdr:row>19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14A2D6-BD88-4F31-8B44-82D8B73B1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BAAABF2C-8435-4656-BA72-0912433BC031}" autoFormatId="16" applyNumberFormats="0" applyBorderFormats="0" applyFontFormats="0" applyPatternFormats="0" applyAlignmentFormats="0" applyWidthHeightFormats="0">
  <queryTableRefresh nextId="4">
    <queryTableFields count="3">
      <queryTableField id="1" name="tenure_group" tableColumnId="1"/>
      <queryTableField id="2" name="customers" tableColumnId="2"/>
      <queryTableField id="3" name="churn_rat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0E91F4E6-62F3-42AC-A32F-60DFA1EAC693}" autoFormatId="16" applyNumberFormats="0" applyBorderFormats="0" applyFontFormats="0" applyPatternFormats="0" applyAlignmentFormats="0" applyWidthHeightFormats="0">
  <queryTableRefresh nextId="3">
    <queryTableFields count="2">
      <queryTableField id="1" name="Churn" tableColumnId="1"/>
      <queryTableField id="2" name="total_monthly_revenu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31948CE-0C6C-46C5-A673-A0A879E2163D}" autoFormatId="16" applyNumberFormats="0" applyBorderFormats="0" applyFontFormats="0" applyPatternFormats="0" applyAlignmentFormats="0" applyWidthHeightFormats="0">
  <queryTableRefresh nextId="5">
    <queryTableFields count="4">
      <queryTableField id="1" name="Contract" tableColumnId="1"/>
      <queryTableField id="2" name="total_customers" tableColumnId="2"/>
      <queryTableField id="3" name="churned_customers" tableColumnId="3"/>
      <queryTableField id="4" name="churn_rat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5A869D-6A96-4E07-96CC-C0C4BD814ACA}" autoFormatId="16" applyNumberFormats="0" applyBorderFormats="0" applyFontFormats="0" applyPatternFormats="0" applyAlignmentFormats="0" applyWidthHeightFormats="0">
  <queryTableRefresh nextId="4">
    <queryTableFields count="3">
      <queryTableField id="1" name="Churn" tableColumnId="1"/>
      <queryTableField id="2" name="customers" tableColumnId="2"/>
      <queryTableField id="3" name="percentag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CB1CF9-E932-47DF-804E-FA04C08FFFDE}" name="tenure_group_churn" displayName="tenure_group_churn" ref="A1:C4" tableType="queryTable" totalsRowShown="0">
  <tableColumns count="3">
    <tableColumn id="1" xr3:uid="{589FCE0A-7B4B-4242-B340-451C2468B340}" uniqueName="1" name="tenure_group" queryTableFieldId="1" dataDxfId="4"/>
    <tableColumn id="2" xr3:uid="{97D63F99-33E8-4141-B8FA-D6A76003D359}" uniqueName="2" name="customers" queryTableFieldId="2"/>
    <tableColumn id="3" xr3:uid="{89C597D3-EFFE-4002-93BC-4DD85B98C324}" uniqueName="3" name="churn_rate" queryTableFieldId="3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D6A2C5-4087-400C-AE97-4F82943C75AA}" name="revenue_impact_on_churn" displayName="revenue_impact_on_churn" ref="A1:B3" tableType="queryTable" totalsRowShown="0">
  <tableColumns count="2">
    <tableColumn id="1" xr3:uid="{78BE4254-AD2F-466B-BD74-2B153CC38CD4}" uniqueName="1" name="Churn" queryTableFieldId="1" dataDxfId="3"/>
    <tableColumn id="2" xr3:uid="{27DD367E-1280-40B8-9212-FC6F89F24817}" uniqueName="2" name="total_monthly_revenue" queryTableFieldId="2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0255EF-6479-49BD-AFB0-F7949165ACF4}" name="churn_by_contract_type" displayName="churn_by_contract_type" ref="A1:D4" tableType="queryTable" totalsRowShown="0">
  <tableColumns count="4">
    <tableColumn id="1" xr3:uid="{52655948-D583-4E26-956B-5B70B4EE9B4B}" uniqueName="1" name="Contract" queryTableFieldId="1" dataDxfId="2"/>
    <tableColumn id="2" xr3:uid="{FDD1891E-6A76-4644-AD3F-FC2E2ABBD829}" uniqueName="2" name="total_customers" queryTableFieldId="2"/>
    <tableColumn id="3" xr3:uid="{CE6FD7E8-2137-4EC4-A206-1D37DDE6516B}" uniqueName="3" name="churned_customers" queryTableFieldId="3"/>
    <tableColumn id="4" xr3:uid="{C2CA47F3-49E7-4C2D-BF88-EE55263B865B}" uniqueName="4" name="churn_rate" queryTableFieldId="4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C669BA-16D2-4BAA-8123-B4E96F5A1200}" name="churn_summary" displayName="churn_summary" ref="A1:C3" tableType="queryTable" totalsRowShown="0">
  <tableColumns count="3">
    <tableColumn id="1" xr3:uid="{FD45646D-72B0-4148-8DA4-A7646F4FCBE5}" uniqueName="1" name="Churn" queryTableFieldId="1" dataDxfId="1"/>
    <tableColumn id="2" xr3:uid="{BD924A94-C7AC-4A70-B7AD-FA914E576AB6}" uniqueName="2" name="customers" queryTableFieldId="2"/>
    <tableColumn id="3" xr3:uid="{50DFE926-93EE-4576-A901-198C2D23BC1C}" uniqueName="3" name="percentage" queryTableFieldId="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66BF92-A675-4A7D-840E-8FC880225409}" name="Table5" displayName="Table5" ref="A1:B5" totalsRowShown="0">
  <tableColumns count="2">
    <tableColumn id="1" xr3:uid="{F878C905-6308-4FE7-BBD0-B0D64AF6406A}" name="Customer Churn KPI Summary"/>
    <tableColumn id="2" xr3:uid="{0E7CB81A-20D9-458F-859B-9201E9C1131A}" name="val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2CE0-9D25-42B8-819B-D1EE66C50EA0}">
  <dimension ref="A1:C4"/>
  <sheetViews>
    <sheetView workbookViewId="0"/>
  </sheetViews>
  <sheetFormatPr defaultRowHeight="14.4" x14ac:dyDescent="0.3"/>
  <cols>
    <col min="1" max="1" width="14.77734375" bestFit="1" customWidth="1"/>
    <col min="2" max="2" width="11.88671875" bestFit="1" customWidth="1"/>
    <col min="3" max="3" width="12.44140625" bestFit="1" customWidth="1"/>
  </cols>
  <sheetData>
    <row r="1" spans="1:3" x14ac:dyDescent="0.3">
      <c r="A1" t="s">
        <v>16</v>
      </c>
      <c r="B1" t="s">
        <v>3</v>
      </c>
      <c r="C1" t="s">
        <v>9</v>
      </c>
    </row>
    <row r="2" spans="1:3" x14ac:dyDescent="0.3">
      <c r="A2" t="s">
        <v>15</v>
      </c>
      <c r="B2">
        <v>2069</v>
      </c>
      <c r="C2">
        <v>48.28</v>
      </c>
    </row>
    <row r="3" spans="1:3" x14ac:dyDescent="0.3">
      <c r="A3" t="s">
        <v>14</v>
      </c>
      <c r="B3">
        <v>1141</v>
      </c>
      <c r="C3">
        <v>29.1</v>
      </c>
    </row>
    <row r="4" spans="1:3" x14ac:dyDescent="0.3">
      <c r="A4" t="s">
        <v>13</v>
      </c>
      <c r="B4">
        <v>3833</v>
      </c>
      <c r="C4">
        <v>14.04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2C2B-468A-47D5-B306-F3EB28CAB720}">
  <dimension ref="A1:B3"/>
  <sheetViews>
    <sheetView workbookViewId="0"/>
  </sheetViews>
  <sheetFormatPr defaultRowHeight="14.4" x14ac:dyDescent="0.3"/>
  <cols>
    <col min="1" max="1" width="8.33203125" bestFit="1" customWidth="1"/>
    <col min="2" max="2" width="23.33203125" bestFit="1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316985.75</v>
      </c>
    </row>
    <row r="3" spans="1:2" x14ac:dyDescent="0.3">
      <c r="A3" t="s">
        <v>0</v>
      </c>
      <c r="B3">
        <v>139130.85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FB15-64B5-4109-BF29-B8A0FC5D1C31}">
  <dimension ref="A1:D4"/>
  <sheetViews>
    <sheetView workbookViewId="0"/>
  </sheetViews>
  <sheetFormatPr defaultRowHeight="14.4" x14ac:dyDescent="0.3"/>
  <cols>
    <col min="1" max="1" width="15" bestFit="1" customWidth="1"/>
    <col min="2" max="2" width="16.88671875" bestFit="1" customWidth="1"/>
    <col min="3" max="3" width="20.109375" bestFit="1" customWidth="1"/>
    <col min="4" max="4" width="12.44140625" bestFit="1" customWidth="1"/>
  </cols>
  <sheetData>
    <row r="1" spans="1:4" x14ac:dyDescent="0.3">
      <c r="A1" t="s">
        <v>12</v>
      </c>
      <c r="B1" t="s">
        <v>11</v>
      </c>
      <c r="C1" t="s">
        <v>10</v>
      </c>
      <c r="D1" t="s">
        <v>9</v>
      </c>
    </row>
    <row r="2" spans="1:4" x14ac:dyDescent="0.3">
      <c r="A2" t="s">
        <v>8</v>
      </c>
      <c r="B2">
        <v>3875</v>
      </c>
      <c r="C2">
        <v>1655</v>
      </c>
      <c r="D2">
        <v>42.71</v>
      </c>
    </row>
    <row r="3" spans="1:4" x14ac:dyDescent="0.3">
      <c r="A3" t="s">
        <v>7</v>
      </c>
      <c r="B3">
        <v>1473</v>
      </c>
      <c r="C3">
        <v>166</v>
      </c>
      <c r="D3">
        <v>11.27</v>
      </c>
    </row>
    <row r="4" spans="1:4" x14ac:dyDescent="0.3">
      <c r="A4" t="s">
        <v>6</v>
      </c>
      <c r="B4">
        <v>1695</v>
      </c>
      <c r="C4">
        <v>48</v>
      </c>
      <c r="D4">
        <v>2.83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0195-C1A8-4CCA-A7BD-CBB0F7188ED5}">
  <dimension ref="A1:C3"/>
  <sheetViews>
    <sheetView workbookViewId="0"/>
  </sheetViews>
  <sheetFormatPr defaultRowHeight="14.4" x14ac:dyDescent="0.3"/>
  <cols>
    <col min="1" max="1" width="8.33203125" bestFit="1" customWidth="1"/>
    <col min="2" max="2" width="11.88671875" bestFit="1" customWidth="1"/>
    <col min="3" max="3" width="12.6640625" style="1" bestFit="1" customWidth="1"/>
  </cols>
  <sheetData>
    <row r="1" spans="1:3" x14ac:dyDescent="0.3">
      <c r="A1" t="s">
        <v>4</v>
      </c>
      <c r="B1" t="s">
        <v>3</v>
      </c>
      <c r="C1" s="1" t="s">
        <v>2</v>
      </c>
    </row>
    <row r="2" spans="1:3" x14ac:dyDescent="0.3">
      <c r="A2" t="s">
        <v>1</v>
      </c>
      <c r="B2">
        <v>5174</v>
      </c>
      <c r="C2" s="1">
        <v>0.73459999999999992</v>
      </c>
    </row>
    <row r="3" spans="1:3" x14ac:dyDescent="0.3">
      <c r="A3" t="s">
        <v>0</v>
      </c>
      <c r="B3">
        <v>1869</v>
      </c>
      <c r="C3" s="1">
        <v>0.26539999999999997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11DE-6CDE-455B-A771-9AF889376B37}">
  <dimension ref="A1:B5"/>
  <sheetViews>
    <sheetView workbookViewId="0">
      <selection activeCell="B11" sqref="B11"/>
    </sheetView>
  </sheetViews>
  <sheetFormatPr defaultRowHeight="14.4" x14ac:dyDescent="0.3"/>
  <cols>
    <col min="1" max="1" width="30.77734375" customWidth="1"/>
    <col min="2" max="2" width="24" customWidth="1"/>
  </cols>
  <sheetData>
    <row r="1" spans="1:2" x14ac:dyDescent="0.3">
      <c r="A1" t="s">
        <v>22</v>
      </c>
      <c r="B1" s="8" t="s">
        <v>21</v>
      </c>
    </row>
    <row r="2" spans="1:2" ht="15.6" x14ac:dyDescent="0.3">
      <c r="A2" s="2" t="s">
        <v>20</v>
      </c>
      <c r="B2" s="9">
        <f>SUM(churn_summary[customers])</f>
        <v>7043</v>
      </c>
    </row>
    <row r="3" spans="1:2" x14ac:dyDescent="0.3">
      <c r="A3" t="s">
        <v>19</v>
      </c>
      <c r="B3" s="9">
        <f>SUMIFS(churn_summary[customers], churn_summary[Churn], "Yes")</f>
        <v>1869</v>
      </c>
    </row>
    <row r="4" spans="1:2" x14ac:dyDescent="0.3">
      <c r="A4" t="s">
        <v>18</v>
      </c>
      <c r="B4" s="10">
        <f>B3/B2</f>
        <v>0.26536987079369589</v>
      </c>
    </row>
    <row r="5" spans="1:2" ht="15.6" x14ac:dyDescent="0.3">
      <c r="A5" s="2" t="s">
        <v>17</v>
      </c>
      <c r="B5" s="9">
        <f>SUMIFS(revenue_impact_on_churn[total_monthly_revenue], revenue_impact_on_churn[Churn], "Yes")</f>
        <v>139130.85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01CB-CA2B-41F6-A53C-9E6327F4AA62}">
  <dimension ref="A1:H2"/>
  <sheetViews>
    <sheetView tabSelected="1" workbookViewId="0">
      <selection activeCell="F21" sqref="F21"/>
    </sheetView>
  </sheetViews>
  <sheetFormatPr defaultRowHeight="14.4" x14ac:dyDescent="0.3"/>
  <cols>
    <col min="1" max="1" width="51.6640625" customWidth="1"/>
    <col min="2" max="2" width="11.88671875" customWidth="1"/>
    <col min="3" max="3" width="8.88671875" customWidth="1"/>
    <col min="4" max="4" width="12.6640625" customWidth="1"/>
    <col min="5" max="5" width="12.77734375" customWidth="1"/>
    <col min="7" max="7" width="19.5546875" customWidth="1"/>
    <col min="8" max="8" width="16.21875" customWidth="1"/>
  </cols>
  <sheetData>
    <row r="1" spans="1:8" ht="23.4" x14ac:dyDescent="0.45">
      <c r="A1" s="7" t="s">
        <v>23</v>
      </c>
    </row>
    <row r="2" spans="1:8" x14ac:dyDescent="0.3">
      <c r="A2" s="4" t="s">
        <v>20</v>
      </c>
      <c r="B2" s="6">
        <f>KPI_summary!B2</f>
        <v>7043</v>
      </c>
      <c r="D2" s="4" t="s">
        <v>18</v>
      </c>
      <c r="E2" s="5">
        <f>KPI_summary!B4</f>
        <v>0.26536987079369589</v>
      </c>
      <c r="G2" s="4" t="s">
        <v>17</v>
      </c>
      <c r="H2" s="3">
        <f>KPI_summary!B5</f>
        <v>139130.85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03DD27-C058-45EE-9A83-9B49F75CE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tenure_group_churn</vt:lpstr>
      <vt:lpstr>revenue_impact_on_churn</vt:lpstr>
      <vt:lpstr>churn_by_contract_type</vt:lpstr>
      <vt:lpstr>churn_summary</vt:lpstr>
      <vt:lpstr>KPI_summary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chintu</dc:creator>
  <cp:lastModifiedBy>v chintu</cp:lastModifiedBy>
  <dcterms:created xsi:type="dcterms:W3CDTF">2026-01-28T07:37:27Z</dcterms:created>
  <dcterms:modified xsi:type="dcterms:W3CDTF">2026-01-29T09:49:23Z</dcterms:modified>
</cp:coreProperties>
</file>